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im\Documents\Pilot\TFC\Praxis\"/>
    </mc:Choice>
  </mc:AlternateContent>
  <xr:revisionPtr revIDLastSave="0" documentId="8_{D052FAA8-2A25-4BC2-AF86-C0E2F8399017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Fuel Calculation" sheetId="1" r:id="rId1"/>
    <sheet name="Mass &amp; Balance" sheetId="2" r:id="rId2"/>
    <sheet name="Stammdaten" sheetId="3" state="hidden" r:id="rId3"/>
  </sheets>
  <definedNames>
    <definedName name="_xlnm.Print_Area" localSheetId="0">'Fuel Calculation'!$A$1:$H$27</definedName>
    <definedName name="_xlnm.Print_Area" localSheetId="1">'Mass &amp; Balance'!$A$1:$H$28</definedName>
  </definedNames>
  <calcPr calcId="191029" forceFullCalc="1"/>
</workbook>
</file>

<file path=xl/calcChain.xml><?xml version="1.0" encoding="utf-8"?>
<calcChain xmlns="http://schemas.openxmlformats.org/spreadsheetml/2006/main">
  <c r="C12" i="2" l="1"/>
  <c r="D12" i="2" s="1"/>
  <c r="D11" i="2"/>
  <c r="C10" i="2"/>
  <c r="D10" i="2" s="1"/>
  <c r="D9" i="2"/>
  <c r="C8" i="2"/>
  <c r="B8" i="2"/>
  <c r="H4" i="2"/>
  <c r="F4" i="2"/>
  <c r="D4" i="2"/>
  <c r="B4" i="2"/>
  <c r="D23" i="1"/>
  <c r="C16" i="2" s="1"/>
  <c r="D16" i="2" s="1"/>
  <c r="D21" i="1"/>
  <c r="C19" i="1"/>
  <c r="D19" i="1" s="1"/>
  <c r="C17" i="1"/>
  <c r="D17" i="1" s="1"/>
  <c r="C14" i="1"/>
  <c r="D14" i="1" s="1"/>
  <c r="C12" i="1"/>
  <c r="D12" i="1" s="1"/>
  <c r="C18" i="2" s="1"/>
  <c r="D18" i="2" s="1"/>
  <c r="C16" i="1" l="1"/>
  <c r="D16" i="1" s="1"/>
  <c r="C13" i="2"/>
  <c r="D8" i="2"/>
  <c r="D13" i="2" s="1"/>
  <c r="C20" i="1" l="1"/>
  <c r="D20" i="1" s="1"/>
  <c r="B22" i="2"/>
  <c r="C22" i="1" l="1"/>
  <c r="D22" i="1" s="1"/>
  <c r="C24" i="1"/>
  <c r="D24" i="1" s="1"/>
  <c r="C14" i="2" s="1"/>
  <c r="D14" i="2" l="1"/>
  <c r="D15" i="2" s="1"/>
  <c r="D17" i="2" s="1"/>
  <c r="D19" i="2" s="1"/>
  <c r="C15" i="2"/>
  <c r="D22" i="2" l="1"/>
  <c r="C17" i="2"/>
  <c r="A24" i="2" l="1"/>
  <c r="F22" i="2"/>
  <c r="C19" i="2"/>
  <c r="H22" i="2" s="1"/>
</calcChain>
</file>

<file path=xl/sharedStrings.xml><?xml version="1.0" encoding="utf-8"?>
<sst xmlns="http://schemas.openxmlformats.org/spreadsheetml/2006/main" count="110" uniqueCount="103">
  <si>
    <t>FLIGHT LOG – Cessna C-152 | FUEL CALCULATION</t>
  </si>
  <si>
    <t>FLIGHT / AIRCRAFT DETAILS</t>
  </si>
  <si>
    <t>Date</t>
  </si>
  <si>
    <t>Pilot</t>
  </si>
  <si>
    <t>Aircraft / Reg. (FlightLogger)</t>
  </si>
  <si>
    <t>Route / Notes</t>
  </si>
  <si>
    <t>BEM (kg)</t>
  </si>
  <si>
    <t>Empty CG (m)</t>
  </si>
  <si>
    <t>Fuel Flow (L/h)</t>
  </si>
  <si>
    <t>Fuel density (kg/L)</t>
  </si>
  <si>
    <t>LOAD</t>
  </si>
  <si>
    <t>Pilot (kg)</t>
  </si>
  <si>
    <t>Passenger (kg)</t>
  </si>
  <si>
    <t>Baggage 1 (kg)</t>
  </si>
  <si>
    <t>Baggage 2 (kg)</t>
  </si>
  <si>
    <t>FUEL CALCULATION</t>
  </si>
  <si>
    <t>Position</t>
  </si>
  <si>
    <t>Time / Setting</t>
  </si>
  <si>
    <t>Fuel (L)</t>
  </si>
  <si>
    <t>Fuel (kg)</t>
  </si>
  <si>
    <t>Calculation / fixed value</t>
  </si>
  <si>
    <t>Trip Fuel</t>
  </si>
  <si>
    <t>Flight time × fuel flow</t>
  </si>
  <si>
    <t>Flight time (min)</t>
  </si>
  <si>
    <t>Additional Pattern</t>
  </si>
  <si>
    <t>5 min VFR / 15 min IFR (select in input)</t>
  </si>
  <si>
    <t>Pattern time (min)</t>
  </si>
  <si>
    <t>Default 5 min; change to 15 min if applicable</t>
  </si>
  <si>
    <t>Contingency</t>
  </si>
  <si>
    <t>5%; minimum 5 min</t>
  </si>
  <si>
    <t>Alternate Fuel</t>
  </si>
  <si>
    <t>10 min default (editable)</t>
  </si>
  <si>
    <t>Alternate time (min)</t>
  </si>
  <si>
    <t>Fixed printed planning allowance: +10 min</t>
  </si>
  <si>
    <t>Final Reserve</t>
  </si>
  <si>
    <t>45 min</t>
  </si>
  <si>
    <t>Minimum T/O Fuel</t>
  </si>
  <si>
    <t>Extra Fuel</t>
  </si>
  <si>
    <t>Enter additional fuel (L)</t>
  </si>
  <si>
    <t>T/O Fuel</t>
  </si>
  <si>
    <t>Minimum T/O Fuel + Extra Fuel</t>
  </si>
  <si>
    <t>Taxi Fuel</t>
  </si>
  <si>
    <t>3 L (fixed printed value)</t>
  </si>
  <si>
    <t>Block Fuel</t>
  </si>
  <si>
    <t>T/O Fuel + Taxi Fuel</t>
  </si>
  <si>
    <t>Fixed printed values: fuel density 0.72 kg/L | maximum block fuel 93 L (66.96 kg at 0.72 kg/L) | maximum take-off mass 758 kg. Check aircraft-specific applicability and current school procedures before use.</t>
  </si>
  <si>
    <t>FLIGHT LOG – Cessna C-152 | MASS &amp; MOMENT DETERMINATION</t>
  </si>
  <si>
    <t>AIRCRAFT / LOAD DATA</t>
  </si>
  <si>
    <t>Aircraft / Reg.</t>
  </si>
  <si>
    <t>MASS &amp; MOMENT</t>
  </si>
  <si>
    <t>Lever Arm (m)</t>
  </si>
  <si>
    <t>Mass (kg)</t>
  </si>
  <si>
    <t>Moment (kg·m)</t>
  </si>
  <si>
    <t>Source / calculation</t>
  </si>
  <si>
    <t>Basic Empty Mass</t>
  </si>
  <si>
    <t>BEM × empty CG</t>
  </si>
  <si>
    <t>Fixed printed lever arm: 0.99 m</t>
  </si>
  <si>
    <t>Passenger</t>
  </si>
  <si>
    <t>Baggage 1</t>
  </si>
  <si>
    <t>Fixed printed lever arm: 1.63 m; max 54 kg</t>
  </si>
  <si>
    <t>Baggage 2</t>
  </si>
  <si>
    <t>Fixed printed lever arm: 2.13 m; max 18 kg</t>
  </si>
  <si>
    <t>Zero Fuel Mass</t>
  </si>
  <si>
    <t>Basic Empty Mass + occupants + baggage</t>
  </si>
  <si>
    <t>Fixed fuel lever arm: 1.07 m</t>
  </si>
  <si>
    <t>Ramp Mass</t>
  </si>
  <si>
    <t>Zero Fuel Mass + Block Fuel</t>
  </si>
  <si>
    <t>Taxi Fuel (−3 L)</t>
  </si>
  <si>
    <t>3 L × density; fuel arm 1.07 m</t>
  </si>
  <si>
    <t>Take-off Mass</t>
  </si>
  <si>
    <t>Ramp Mass − Taxi Fuel</t>
  </si>
  <si>
    <t>Trip Fuel (minus)</t>
  </si>
  <si>
    <t>Trip fuel × density; fuel arm 1.07 m</t>
  </si>
  <si>
    <t>Landing Mass</t>
  </si>
  <si>
    <t>Take-off Mass − Trip Fuel</t>
  </si>
  <si>
    <t>RESULTS / LIMIT CHECK</t>
  </si>
  <si>
    <t>Zero Fuel CG (m)</t>
  </si>
  <si>
    <t>Ramp CG (m)</t>
  </si>
  <si>
    <t>Take-off CG (m)</t>
  </si>
  <si>
    <t>Landing CG (m)</t>
  </si>
  <si>
    <t>Important: This sheet reproduces the printed values visible on the supplied form. Confirm they apply to the specific aircraft and verify all mass, fuel and CG results against the current POH/AFM, aircraft records and flight-school procedures. The chart/envelope and any CG limits are not independently validated by this spreadsheet.</t>
  </si>
  <si>
    <t>Fixed values transcribed from supplied form</t>
  </si>
  <si>
    <t>Pilot lever arm (m)</t>
  </si>
  <si>
    <t>Passenger lever arm (m)</t>
  </si>
  <si>
    <t>Baggage 1 lever arm (m)</t>
  </si>
  <si>
    <t>Baggage 2 lever arm (m)</t>
  </si>
  <si>
    <t>Fuel lever arm (m)</t>
  </si>
  <si>
    <t>Max fuel (L)</t>
  </si>
  <si>
    <t>Max take-off mass (kg)</t>
  </si>
  <si>
    <t>Max baggage 1 (kg)</t>
  </si>
  <si>
    <t>Max baggage 2 (kg)</t>
  </si>
  <si>
    <t>Taxi fuel (L)</t>
  </si>
  <si>
    <t>Contingency (%)</t>
  </si>
  <si>
    <t>Contingency minimum (min)</t>
  </si>
  <si>
    <t>Final reserve (min)</t>
  </si>
  <si>
    <t>Alternate allowance (min)</t>
  </si>
  <si>
    <t>Note</t>
  </si>
  <si>
    <t>Transcribed from user-provided form images; verify applicability to aircraft and current POH/AFM.</t>
  </si>
  <si>
    <t>DEFTO</t>
  </si>
  <si>
    <r>
      <t>Enter planned flight time</t>
    </r>
    <r>
      <rPr>
        <sz val="9"/>
        <color rgb="FFFF0000"/>
        <rFont val="Arial"/>
        <family val="2"/>
      </rPr>
      <t xml:space="preserve"> time+10</t>
    </r>
  </si>
  <si>
    <r>
      <t xml:space="preserve">Sum Trip through Final Reserve </t>
    </r>
    <r>
      <rPr>
        <sz val="9"/>
        <color rgb="FFFF0000"/>
        <rFont val="Arial"/>
        <family val="2"/>
      </rPr>
      <t xml:space="preserve">minimum Take off Time time fehlt, dass sind alle zeiten addiert </t>
    </r>
  </si>
  <si>
    <r>
      <t xml:space="preserve">Fixed printed lever arm: 0.99 m Pilot and </t>
    </r>
    <r>
      <rPr>
        <sz val="9"/>
        <color rgb="FFFF0000"/>
        <rFont val="Arial"/>
        <family val="2"/>
      </rPr>
      <t>Passenger als Masse und Moment zusammengefasst in ener Zeile</t>
    </r>
  </si>
  <si>
    <t>Schaltfläche um Eingaben Rückgängig zu machen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</si>
</sst>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15"/>
      <color rgb="FFFFFFFF"/>
      <name val="Arial"/>
    </font>
    <font>
      <b/>
      <sz val="9"/>
      <color rgb="FF000000"/>
      <name val="Arial"/>
    </font>
    <font>
      <b/>
      <sz val="14"/>
      <name val="Calibri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63746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164" fontId="4" fillId="4" borderId="0" xfId="0" applyNumberFormat="1" applyFont="1" applyFill="1" applyAlignment="1">
      <alignment horizontal="center" vertical="center" wrapText="1"/>
    </xf>
    <xf numFmtId="165" fontId="4" fillId="4" borderId="0" xfId="0" applyNumberFormat="1" applyFont="1" applyFill="1" applyAlignment="1">
      <alignment horizontal="center" vertical="center" wrapText="1"/>
    </xf>
    <xf numFmtId="2" fontId="4" fillId="5" borderId="0" xfId="0" applyNumberFormat="1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49" fontId="4" fillId="5" borderId="0" xfId="0" applyNumberFormat="1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165" fontId="4" fillId="5" borderId="0" xfId="0" applyNumberFormat="1" applyFont="1" applyFill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165" fontId="4" fillId="6" borderId="0" xfId="0" applyNumberFormat="1" applyFont="1" applyFill="1" applyAlignment="1">
      <alignment horizontal="center" vertical="center" wrapText="1"/>
    </xf>
    <xf numFmtId="0" fontId="8" fillId="0" borderId="0" xfId="0" applyFont="1"/>
    <xf numFmtId="0" fontId="5" fillId="7" borderId="0" xfId="0" applyFont="1" applyFill="1" applyAlignment="1">
      <alignment horizontal="left" vertical="center" wrapText="1"/>
    </xf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"/>
  <sheetViews>
    <sheetView showGridLines="0" tabSelected="1" zoomScale="85" workbookViewId="0">
      <selection activeCell="K11" sqref="K11"/>
    </sheetView>
  </sheetViews>
  <sheetFormatPr baseColWidth="10" defaultColWidth="8.88671875" defaultRowHeight="14.4" x14ac:dyDescent="0.3"/>
  <cols>
    <col min="1" max="1" width="31" customWidth="1"/>
    <col min="2" max="5" width="16" customWidth="1"/>
    <col min="6" max="7" width="17" customWidth="1"/>
    <col min="8" max="8" width="15" customWidth="1"/>
  </cols>
  <sheetData>
    <row r="1" spans="1:9" ht="30" customHeight="1" x14ac:dyDescent="0.3">
      <c r="A1" s="26" t="s">
        <v>0</v>
      </c>
      <c r="B1" s="22"/>
      <c r="C1" s="22"/>
      <c r="D1" s="22"/>
      <c r="E1" s="22"/>
      <c r="F1" s="22"/>
      <c r="G1" s="22"/>
      <c r="H1" s="22"/>
    </row>
    <row r="2" spans="1:9" x14ac:dyDescent="0.3">
      <c r="I2" s="34" t="s">
        <v>102</v>
      </c>
    </row>
    <row r="3" spans="1:9" x14ac:dyDescent="0.3">
      <c r="A3" s="28" t="s">
        <v>1</v>
      </c>
      <c r="B3" s="22"/>
      <c r="C3" s="22"/>
      <c r="D3" s="22"/>
      <c r="E3" s="22"/>
      <c r="F3" s="22"/>
      <c r="G3" s="22"/>
      <c r="H3" s="22"/>
    </row>
    <row r="4" spans="1:9" ht="26.4" x14ac:dyDescent="0.3">
      <c r="A4" s="1" t="s">
        <v>2</v>
      </c>
      <c r="B4" s="2"/>
      <c r="C4" s="1" t="s">
        <v>3</v>
      </c>
      <c r="D4" s="2"/>
      <c r="E4" s="1" t="s">
        <v>4</v>
      </c>
      <c r="F4" s="2" t="s">
        <v>98</v>
      </c>
      <c r="G4" s="1" t="s">
        <v>5</v>
      </c>
      <c r="H4" s="2"/>
    </row>
    <row r="5" spans="1:9" ht="26.4" x14ac:dyDescent="0.3">
      <c r="A5" s="1" t="s">
        <v>6</v>
      </c>
      <c r="B5" s="3">
        <v>554.76</v>
      </c>
      <c r="C5" s="1" t="s">
        <v>7</v>
      </c>
      <c r="D5" s="4">
        <v>0.8</v>
      </c>
      <c r="E5" s="1" t="s">
        <v>8</v>
      </c>
      <c r="F5" s="3">
        <v>23</v>
      </c>
      <c r="G5" s="1" t="s">
        <v>9</v>
      </c>
      <c r="H5" s="5">
        <v>0.72</v>
      </c>
    </row>
    <row r="7" spans="1:9" x14ac:dyDescent="0.3">
      <c r="A7" s="28" t="s">
        <v>10</v>
      </c>
      <c r="B7" s="22"/>
      <c r="C7" s="22"/>
      <c r="D7" s="22"/>
      <c r="E7" s="22"/>
      <c r="F7" s="22"/>
      <c r="G7" s="22"/>
      <c r="H7" s="22"/>
    </row>
    <row r="8" spans="1:9" x14ac:dyDescent="0.3">
      <c r="A8" s="1" t="s">
        <v>11</v>
      </c>
      <c r="B8" s="3">
        <v>0</v>
      </c>
      <c r="C8" s="1" t="s">
        <v>12</v>
      </c>
      <c r="D8" s="3">
        <v>0</v>
      </c>
      <c r="E8" s="1" t="s">
        <v>13</v>
      </c>
      <c r="F8" s="3">
        <v>0</v>
      </c>
      <c r="G8" s="1" t="s">
        <v>14</v>
      </c>
      <c r="H8" s="3">
        <v>0</v>
      </c>
    </row>
    <row r="10" spans="1:9" x14ac:dyDescent="0.3">
      <c r="A10" s="28" t="s">
        <v>15</v>
      </c>
      <c r="B10" s="22"/>
      <c r="C10" s="22"/>
      <c r="D10" s="22"/>
      <c r="E10" s="22"/>
      <c r="F10" s="22"/>
      <c r="G10" s="22"/>
      <c r="H10" s="22"/>
    </row>
    <row r="11" spans="1:9" x14ac:dyDescent="0.3">
      <c r="A11" s="6" t="s">
        <v>16</v>
      </c>
      <c r="B11" s="6" t="s">
        <v>17</v>
      </c>
      <c r="C11" s="6" t="s">
        <v>18</v>
      </c>
      <c r="D11" s="6" t="s">
        <v>19</v>
      </c>
      <c r="E11" s="29" t="s">
        <v>20</v>
      </c>
      <c r="F11" s="24"/>
      <c r="G11" s="24"/>
      <c r="H11" s="25"/>
    </row>
    <row r="12" spans="1:9" ht="22.05" customHeight="1" x14ac:dyDescent="0.3">
      <c r="A12" s="7" t="s">
        <v>21</v>
      </c>
      <c r="B12" s="8"/>
      <c r="C12" s="9">
        <f>IF(OR($F$5="",$B$13=""),"",$F$5*$B$13/60)</f>
        <v>38.333333333333336</v>
      </c>
      <c r="D12" s="9">
        <f>IF(C12="","",C12*$H$5)</f>
        <v>27.6</v>
      </c>
      <c r="E12" s="23" t="s">
        <v>22</v>
      </c>
      <c r="F12" s="24"/>
      <c r="G12" s="24"/>
      <c r="H12" s="25"/>
    </row>
    <row r="13" spans="1:9" ht="22.05" customHeight="1" x14ac:dyDescent="0.3">
      <c r="A13" s="7" t="s">
        <v>23</v>
      </c>
      <c r="B13" s="10">
        <v>100</v>
      </c>
      <c r="C13" s="10"/>
      <c r="D13" s="10"/>
      <c r="E13" s="32" t="s">
        <v>99</v>
      </c>
      <c r="F13" s="24"/>
      <c r="G13" s="24"/>
      <c r="H13" s="25"/>
    </row>
    <row r="14" spans="1:9" ht="22.05" customHeight="1" x14ac:dyDescent="0.3">
      <c r="A14" s="7" t="s">
        <v>24</v>
      </c>
      <c r="B14" s="8"/>
      <c r="C14" s="9">
        <f>IF(OR($F$5="",$B$15=""),"",$F$5*$B$15/60)</f>
        <v>1.9166666666666667</v>
      </c>
      <c r="D14" s="9">
        <f>IF(C14="","",C14*$H$5)</f>
        <v>1.38</v>
      </c>
      <c r="E14" s="23" t="s">
        <v>25</v>
      </c>
      <c r="F14" s="24"/>
      <c r="G14" s="24"/>
      <c r="H14" s="25"/>
    </row>
    <row r="15" spans="1:9" ht="22.05" customHeight="1" x14ac:dyDescent="0.3">
      <c r="A15" s="7" t="s">
        <v>26</v>
      </c>
      <c r="B15" s="10">
        <v>5</v>
      </c>
      <c r="C15" s="10"/>
      <c r="D15" s="10"/>
      <c r="E15" s="23" t="s">
        <v>27</v>
      </c>
      <c r="F15" s="24"/>
      <c r="G15" s="24"/>
      <c r="H15" s="25"/>
    </row>
    <row r="16" spans="1:9" ht="22.05" customHeight="1" x14ac:dyDescent="0.3">
      <c r="A16" s="7" t="s">
        <v>28</v>
      </c>
      <c r="B16" s="8"/>
      <c r="C16" s="9">
        <f>IF(C12="","",MAX(C12*5%, $F$5*5/60))</f>
        <v>1.916666666666667</v>
      </c>
      <c r="D16" s="9">
        <f>IF(C16="","",C16*$H$5)</f>
        <v>1.3800000000000001</v>
      </c>
      <c r="E16" s="23" t="s">
        <v>29</v>
      </c>
      <c r="F16" s="24"/>
      <c r="G16" s="24"/>
      <c r="H16" s="25"/>
    </row>
    <row r="17" spans="1:8" ht="22.05" customHeight="1" x14ac:dyDescent="0.3">
      <c r="A17" s="7" t="s">
        <v>30</v>
      </c>
      <c r="B17" s="8"/>
      <c r="C17" s="9">
        <f>IF(OR($F$5="",$B$18=""),"",$F$5*$B$18/60)</f>
        <v>3.8333333333333335</v>
      </c>
      <c r="D17" s="9">
        <f>IF(C17="","",C17*$H$5)</f>
        <v>2.76</v>
      </c>
      <c r="E17" s="23" t="s">
        <v>31</v>
      </c>
      <c r="F17" s="24"/>
      <c r="G17" s="24"/>
      <c r="H17" s="25"/>
    </row>
    <row r="18" spans="1:8" ht="22.05" customHeight="1" x14ac:dyDescent="0.3">
      <c r="A18" s="7" t="s">
        <v>32</v>
      </c>
      <c r="B18" s="10">
        <v>10</v>
      </c>
      <c r="C18" s="10"/>
      <c r="D18" s="10"/>
      <c r="E18" s="23" t="s">
        <v>33</v>
      </c>
      <c r="F18" s="24"/>
      <c r="G18" s="24"/>
      <c r="H18" s="25"/>
    </row>
    <row r="19" spans="1:8" ht="22.05" customHeight="1" x14ac:dyDescent="0.3">
      <c r="A19" s="7" t="s">
        <v>34</v>
      </c>
      <c r="B19" s="8"/>
      <c r="C19" s="9">
        <f>IF($F$5="","",$F$5*45/60)</f>
        <v>17.25</v>
      </c>
      <c r="D19" s="9">
        <f>IF(C19="","",C19*$H$5)</f>
        <v>12.42</v>
      </c>
      <c r="E19" s="23" t="s">
        <v>35</v>
      </c>
      <c r="F19" s="24"/>
      <c r="G19" s="24"/>
      <c r="H19" s="25"/>
    </row>
    <row r="20" spans="1:8" ht="22.05" customHeight="1" x14ac:dyDescent="0.3">
      <c r="A20" s="11" t="s">
        <v>36</v>
      </c>
      <c r="B20" s="8"/>
      <c r="C20" s="9">
        <f>IF(COUNT(C12,C14,C16,C17,C19)&lt;5,"",SUM(C12,C14,C16,C17,C19))</f>
        <v>63.25</v>
      </c>
      <c r="D20" s="9">
        <f>IF(C20="","",C20*$H$5)</f>
        <v>45.54</v>
      </c>
      <c r="E20" s="33" t="s">
        <v>100</v>
      </c>
      <c r="F20" s="24"/>
      <c r="G20" s="24"/>
      <c r="H20" s="25"/>
    </row>
    <row r="21" spans="1:8" ht="22.05" customHeight="1" x14ac:dyDescent="0.3">
      <c r="A21" s="7" t="s">
        <v>37</v>
      </c>
      <c r="B21" s="10">
        <v>0</v>
      </c>
      <c r="C21" s="10"/>
      <c r="D21" s="9" t="str">
        <f>IF(C21="","",C21*$H$5)</f>
        <v/>
      </c>
      <c r="E21" s="23" t="s">
        <v>38</v>
      </c>
      <c r="F21" s="24"/>
      <c r="G21" s="24"/>
      <c r="H21" s="25"/>
    </row>
    <row r="22" spans="1:8" ht="22.05" customHeight="1" x14ac:dyDescent="0.3">
      <c r="A22" s="11" t="s">
        <v>39</v>
      </c>
      <c r="B22" s="8"/>
      <c r="C22" s="9">
        <f>IF(C20="","",C20+IF(C21="",0,C21))</f>
        <v>63.25</v>
      </c>
      <c r="D22" s="9">
        <f>IF(C22="","",C22*$H$5)</f>
        <v>45.54</v>
      </c>
      <c r="E22" s="27" t="s">
        <v>40</v>
      </c>
      <c r="F22" s="24"/>
      <c r="G22" s="24"/>
      <c r="H22" s="25"/>
    </row>
    <row r="23" spans="1:8" ht="22.05" customHeight="1" x14ac:dyDescent="0.3">
      <c r="A23" s="7" t="s">
        <v>41</v>
      </c>
      <c r="B23" s="8"/>
      <c r="C23" s="12">
        <v>3</v>
      </c>
      <c r="D23" s="9">
        <f>C23*$H$5</f>
        <v>2.16</v>
      </c>
      <c r="E23" s="23" t="s">
        <v>42</v>
      </c>
      <c r="F23" s="24"/>
      <c r="G23" s="24"/>
      <c r="H23" s="25"/>
    </row>
    <row r="24" spans="1:8" ht="22.05" customHeight="1" x14ac:dyDescent="0.3">
      <c r="A24" s="11" t="s">
        <v>43</v>
      </c>
      <c r="B24" s="8"/>
      <c r="C24" s="9">
        <f>IF(C22="","",C22+C23)</f>
        <v>66.25</v>
      </c>
      <c r="D24" s="9">
        <f>IF(C24="","",C24*$H$5)</f>
        <v>47.699999999999996</v>
      </c>
      <c r="E24" s="27" t="s">
        <v>44</v>
      </c>
      <c r="F24" s="24"/>
      <c r="G24" s="24"/>
      <c r="H24" s="25"/>
    </row>
    <row r="26" spans="1:8" ht="19.95" customHeight="1" x14ac:dyDescent="0.3">
      <c r="A26" s="21" t="s">
        <v>45</v>
      </c>
      <c r="B26" s="22"/>
      <c r="C26" s="22"/>
      <c r="D26" s="22"/>
      <c r="E26" s="22"/>
      <c r="F26" s="22"/>
      <c r="G26" s="22"/>
      <c r="H26" s="22"/>
    </row>
    <row r="27" spans="1:8" ht="19.95" customHeight="1" x14ac:dyDescent="0.3">
      <c r="A27" s="22"/>
      <c r="B27" s="22"/>
      <c r="C27" s="22"/>
      <c r="D27" s="22"/>
      <c r="E27" s="22"/>
      <c r="F27" s="22"/>
      <c r="G27" s="22"/>
      <c r="H27" s="22"/>
    </row>
  </sheetData>
  <mergeCells count="19">
    <mergeCell ref="A10:H10"/>
    <mergeCell ref="E15:H15"/>
    <mergeCell ref="E11:H11"/>
    <mergeCell ref="A26:H27"/>
    <mergeCell ref="E16:H16"/>
    <mergeCell ref="A1:H1"/>
    <mergeCell ref="E22:H22"/>
    <mergeCell ref="E18:H18"/>
    <mergeCell ref="A7:H7"/>
    <mergeCell ref="E12:H12"/>
    <mergeCell ref="E21:H21"/>
    <mergeCell ref="E24:H24"/>
    <mergeCell ref="E14:H14"/>
    <mergeCell ref="A3:H3"/>
    <mergeCell ref="E17:H17"/>
    <mergeCell ref="E23:H23"/>
    <mergeCell ref="E20:H20"/>
    <mergeCell ref="E19:H19"/>
    <mergeCell ref="E13:H13"/>
  </mergeCells>
  <pageMargins left="0.25" right="0.25" top="0.3" bottom="0.3" header="0.1" footer="0.1"/>
  <pageSetup paperSize="9" orientation="landscape" r:id="rId1"/>
  <headerFooter>
    <oddFooter>&amp;C&amp;7 TFC-style planning sheet | Cessna C-152 | Verify against current POH/AFM and school SOP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"/>
  <sheetViews>
    <sheetView showGridLines="0" zoomScale="85" workbookViewId="0">
      <selection activeCell="C11" sqref="C11"/>
    </sheetView>
  </sheetViews>
  <sheetFormatPr baseColWidth="10" defaultColWidth="8.88671875" defaultRowHeight="14.4" x14ac:dyDescent="0.3"/>
  <cols>
    <col min="1" max="1" width="31" customWidth="1"/>
    <col min="2" max="3" width="17" customWidth="1"/>
    <col min="4" max="4" width="18" customWidth="1"/>
    <col min="5" max="5" width="22" customWidth="1"/>
    <col min="6" max="6" width="18" customWidth="1"/>
    <col min="7" max="8" width="17" customWidth="1"/>
  </cols>
  <sheetData>
    <row r="1" spans="1:8" ht="30" customHeight="1" x14ac:dyDescent="0.3">
      <c r="A1" s="30" t="s">
        <v>46</v>
      </c>
      <c r="B1" s="22"/>
      <c r="C1" s="22"/>
      <c r="D1" s="22"/>
      <c r="E1" s="22"/>
      <c r="F1" s="22"/>
      <c r="G1" s="22"/>
      <c r="H1" s="22"/>
    </row>
    <row r="3" spans="1:8" x14ac:dyDescent="0.3">
      <c r="A3" s="28" t="s">
        <v>47</v>
      </c>
      <c r="B3" s="22"/>
      <c r="C3" s="22"/>
      <c r="D3" s="22"/>
      <c r="E3" s="22"/>
      <c r="F3" s="22"/>
      <c r="G3" s="22"/>
      <c r="H3" s="22"/>
    </row>
    <row r="4" spans="1:8" x14ac:dyDescent="0.3">
      <c r="A4" s="1" t="s">
        <v>48</v>
      </c>
      <c r="B4" s="13" t="str">
        <f>IF('Fuel Calculation'!F4="","",'Fuel Calculation'!F4)</f>
        <v>DEFTO</v>
      </c>
      <c r="C4" s="1" t="s">
        <v>6</v>
      </c>
      <c r="D4" s="13">
        <f>IF('Fuel Calculation'!B5="","",'Fuel Calculation'!B5)</f>
        <v>554.76</v>
      </c>
      <c r="E4" s="1" t="s">
        <v>7</v>
      </c>
      <c r="F4" s="14">
        <f>IF('Fuel Calculation'!D5="","",'Fuel Calculation'!D5)</f>
        <v>0.8</v>
      </c>
      <c r="G4" s="1" t="s">
        <v>8</v>
      </c>
      <c r="H4" s="15">
        <f>IF('Fuel Calculation'!F5="","",'Fuel Calculation'!F5)</f>
        <v>23</v>
      </c>
    </row>
    <row r="6" spans="1:8" x14ac:dyDescent="0.3">
      <c r="A6" s="28" t="s">
        <v>49</v>
      </c>
      <c r="B6" s="22"/>
      <c r="C6" s="22"/>
      <c r="D6" s="22"/>
      <c r="E6" s="22"/>
      <c r="F6" s="22"/>
      <c r="G6" s="22"/>
      <c r="H6" s="22"/>
    </row>
    <row r="7" spans="1:8" x14ac:dyDescent="0.3">
      <c r="A7" s="6" t="s">
        <v>16</v>
      </c>
      <c r="B7" s="6" t="s">
        <v>50</v>
      </c>
      <c r="C7" s="6" t="s">
        <v>51</v>
      </c>
      <c r="D7" s="6" t="s">
        <v>52</v>
      </c>
      <c r="E7" s="29" t="s">
        <v>53</v>
      </c>
      <c r="F7" s="24"/>
      <c r="G7" s="24"/>
      <c r="H7" s="25"/>
    </row>
    <row r="8" spans="1:8" ht="22.95" customHeight="1" x14ac:dyDescent="0.3">
      <c r="A8" s="7" t="s">
        <v>54</v>
      </c>
      <c r="B8" s="16">
        <f>IF('Fuel Calculation'!D5="","",'Fuel Calculation'!D5)</f>
        <v>0.8</v>
      </c>
      <c r="C8" s="9">
        <f>IF('Fuel Calculation'!B5="","",'Fuel Calculation'!B5)</f>
        <v>554.76</v>
      </c>
      <c r="D8" s="9">
        <f>IF(OR(B8="",C8=""),"",B8*C8)</f>
        <v>443.80799999999999</v>
      </c>
      <c r="E8" s="23" t="s">
        <v>55</v>
      </c>
      <c r="F8" s="24"/>
      <c r="G8" s="24"/>
      <c r="H8" s="25"/>
    </row>
    <row r="9" spans="1:8" ht="22.95" customHeight="1" x14ac:dyDescent="0.3">
      <c r="A9" s="7" t="s">
        <v>3</v>
      </c>
      <c r="B9" s="17">
        <v>0.99</v>
      </c>
      <c r="C9" s="9">
        <v>80</v>
      </c>
      <c r="D9" s="9">
        <f>B9*C9</f>
        <v>79.2</v>
      </c>
      <c r="E9" s="32" t="s">
        <v>101</v>
      </c>
      <c r="F9" s="24"/>
      <c r="G9" s="24"/>
      <c r="H9" s="25"/>
    </row>
    <row r="10" spans="1:8" ht="22.95" customHeight="1" x14ac:dyDescent="0.3">
      <c r="A10" s="7" t="s">
        <v>57</v>
      </c>
      <c r="B10" s="17">
        <v>0.99</v>
      </c>
      <c r="C10" s="9">
        <f>'Fuel Calculation'!D8</f>
        <v>0</v>
      </c>
      <c r="D10" s="9">
        <f>B10*C10</f>
        <v>0</v>
      </c>
      <c r="E10" s="23" t="s">
        <v>56</v>
      </c>
      <c r="F10" s="24"/>
      <c r="G10" s="24"/>
      <c r="H10" s="25"/>
    </row>
    <row r="11" spans="1:8" ht="22.95" customHeight="1" x14ac:dyDescent="0.3">
      <c r="A11" s="7" t="s">
        <v>58</v>
      </c>
      <c r="B11" s="17">
        <v>1.63</v>
      </c>
      <c r="C11" s="9">
        <v>10</v>
      </c>
      <c r="D11" s="9">
        <f>B11*C11</f>
        <v>16.299999999999997</v>
      </c>
      <c r="E11" s="23" t="s">
        <v>59</v>
      </c>
      <c r="F11" s="24"/>
      <c r="G11" s="24"/>
      <c r="H11" s="25"/>
    </row>
    <row r="12" spans="1:8" ht="22.95" customHeight="1" x14ac:dyDescent="0.3">
      <c r="A12" s="7" t="s">
        <v>60</v>
      </c>
      <c r="B12" s="17">
        <v>2.13</v>
      </c>
      <c r="C12" s="9">
        <f>'Fuel Calculation'!H8</f>
        <v>0</v>
      </c>
      <c r="D12" s="9">
        <f>B12*C12</f>
        <v>0</v>
      </c>
      <c r="E12" s="23" t="s">
        <v>61</v>
      </c>
      <c r="F12" s="24"/>
      <c r="G12" s="24"/>
      <c r="H12" s="25"/>
    </row>
    <row r="13" spans="1:8" ht="22.95" customHeight="1" x14ac:dyDescent="0.3">
      <c r="A13" s="11" t="s">
        <v>62</v>
      </c>
      <c r="B13" s="16"/>
      <c r="C13" s="9">
        <f>IF(COUNT(C8:C12)&lt;5,"",SUM(C8:C12))</f>
        <v>644.76</v>
      </c>
      <c r="D13" s="9">
        <f>IF(COUNT(D8:D12)&lt;5,"",SUM(D8:D12))</f>
        <v>539.30799999999999</v>
      </c>
      <c r="E13" s="27" t="s">
        <v>63</v>
      </c>
      <c r="F13" s="24"/>
      <c r="G13" s="24"/>
      <c r="H13" s="25"/>
    </row>
    <row r="14" spans="1:8" ht="22.95" customHeight="1" x14ac:dyDescent="0.3">
      <c r="A14" s="7" t="s">
        <v>43</v>
      </c>
      <c r="B14" s="17">
        <v>1.07</v>
      </c>
      <c r="C14" s="9">
        <f>IF('Fuel Calculation'!D24="","",'Fuel Calculation'!D24)</f>
        <v>47.699999999999996</v>
      </c>
      <c r="D14" s="9">
        <f>IF(OR(B14="",C14=""),"",B14*C14)</f>
        <v>51.039000000000001</v>
      </c>
      <c r="E14" s="23" t="s">
        <v>64</v>
      </c>
      <c r="F14" s="24"/>
      <c r="G14" s="24"/>
      <c r="H14" s="25"/>
    </row>
    <row r="15" spans="1:8" ht="22.95" customHeight="1" x14ac:dyDescent="0.3">
      <c r="A15" s="11" t="s">
        <v>65</v>
      </c>
      <c r="B15" s="16"/>
      <c r="C15" s="9">
        <f>IF(COUNT(C13:C14)&lt;2,"",C13+C14)</f>
        <v>692.46</v>
      </c>
      <c r="D15" s="9">
        <f>IF(COUNT(D13:D14)&lt;2,"",D13+D14)</f>
        <v>590.34699999999998</v>
      </c>
      <c r="E15" s="27" t="s">
        <v>66</v>
      </c>
      <c r="F15" s="24"/>
      <c r="G15" s="24"/>
      <c r="H15" s="25"/>
    </row>
    <row r="16" spans="1:8" ht="22.95" customHeight="1" x14ac:dyDescent="0.3">
      <c r="A16" s="7" t="s">
        <v>67</v>
      </c>
      <c r="B16" s="17">
        <v>1.07</v>
      </c>
      <c r="C16" s="9">
        <f>IF('Fuel Calculation'!D23="","",'Fuel Calculation'!D23)</f>
        <v>2.16</v>
      </c>
      <c r="D16" s="9">
        <f>IF(OR(B16="",C16=""),"",-B16*C16)</f>
        <v>-2.3112000000000004</v>
      </c>
      <c r="E16" s="23" t="s">
        <v>68</v>
      </c>
      <c r="F16" s="24"/>
      <c r="G16" s="24"/>
      <c r="H16" s="25"/>
    </row>
    <row r="17" spans="1:8" ht="22.95" customHeight="1" x14ac:dyDescent="0.3">
      <c r="A17" s="11" t="s">
        <v>69</v>
      </c>
      <c r="B17" s="16"/>
      <c r="C17" s="9">
        <f>IF(COUNT(C15:C16)&lt;2,"",C15-C16)</f>
        <v>690.30000000000007</v>
      </c>
      <c r="D17" s="9">
        <f>IF(COUNT(D15:D16)&lt;2,"",D15+D16)</f>
        <v>588.03579999999999</v>
      </c>
      <c r="E17" s="27" t="s">
        <v>70</v>
      </c>
      <c r="F17" s="24"/>
      <c r="G17" s="24"/>
      <c r="H17" s="25"/>
    </row>
    <row r="18" spans="1:8" ht="22.95" customHeight="1" x14ac:dyDescent="0.3">
      <c r="A18" s="7" t="s">
        <v>71</v>
      </c>
      <c r="B18" s="17">
        <v>1.07</v>
      </c>
      <c r="C18" s="9">
        <f>IF('Fuel Calculation'!D12="","",'Fuel Calculation'!D12)</f>
        <v>27.6</v>
      </c>
      <c r="D18" s="9">
        <f>IF(OR(B18="",C18=""),"",-B18*C18)</f>
        <v>-29.532000000000004</v>
      </c>
      <c r="E18" s="23" t="s">
        <v>72</v>
      </c>
      <c r="F18" s="24"/>
      <c r="G18" s="24"/>
      <c r="H18" s="25"/>
    </row>
    <row r="19" spans="1:8" ht="22.95" customHeight="1" x14ac:dyDescent="0.3">
      <c r="A19" s="11" t="s">
        <v>73</v>
      </c>
      <c r="B19" s="16"/>
      <c r="C19" s="9">
        <f>IF(COUNT(C17:C18)&lt;2,"",C17-C18)</f>
        <v>662.7</v>
      </c>
      <c r="D19" s="9">
        <f>IF(COUNT(D17:D18)&lt;2,"",D17+D18)</f>
        <v>558.50379999999996</v>
      </c>
      <c r="E19" s="27" t="s">
        <v>74</v>
      </c>
      <c r="F19" s="24"/>
      <c r="G19" s="24"/>
      <c r="H19" s="25"/>
    </row>
    <row r="21" spans="1:8" x14ac:dyDescent="0.3">
      <c r="A21" s="28" t="s">
        <v>75</v>
      </c>
      <c r="B21" s="22"/>
      <c r="C21" s="22"/>
      <c r="D21" s="22"/>
      <c r="E21" s="22"/>
      <c r="F21" s="22"/>
      <c r="G21" s="22"/>
      <c r="H21" s="22"/>
    </row>
    <row r="22" spans="1:8" x14ac:dyDescent="0.3">
      <c r="A22" s="18" t="s">
        <v>76</v>
      </c>
      <c r="B22" s="19">
        <f>IFERROR(IF(OR(C13="",D13=""),"",D13/C13),"")</f>
        <v>0.83644767045102053</v>
      </c>
      <c r="C22" s="18" t="s">
        <v>77</v>
      </c>
      <c r="D22" s="19">
        <f>IFERROR(IF(OR(C15="",D15=""),"",D15/C15),"")</f>
        <v>0.85253588654940349</v>
      </c>
      <c r="E22" s="18" t="s">
        <v>78</v>
      </c>
      <c r="F22" s="19">
        <f>IFERROR(IF(OR(C17="",D17=""),"",D17/C17),"")</f>
        <v>0.85185542517745894</v>
      </c>
      <c r="G22" s="18" t="s">
        <v>79</v>
      </c>
      <c r="H22" s="19">
        <f>IFERROR(IF(OR(C19="",D19=""),"",D19/C19),"")</f>
        <v>0.84277018258638892</v>
      </c>
    </row>
    <row r="24" spans="1:8" x14ac:dyDescent="0.3">
      <c r="A24" s="31" t="str">
        <f>IF(OR(C17="",'Fuel Calculation'!B5=""),"Enter FlightLogger data and load values.",IF(C17&gt;758,"WARNING: Take-off mass exceeds fixed 758 kg limit.",IF('Fuel Calculation'!C24&gt;93,"WARNING: Block fuel exceeds fixed 93 L limit.","Mass and fuel quantities are within the entered fixed limits. CG envelope must be checked separately.")))</f>
        <v>Mass and fuel quantities are within the entered fixed limits. CG envelope must be checked separately.</v>
      </c>
      <c r="B24" s="22"/>
      <c r="C24" s="22"/>
      <c r="D24" s="22"/>
      <c r="E24" s="22"/>
      <c r="F24" s="22"/>
      <c r="G24" s="22"/>
      <c r="H24" s="22"/>
    </row>
    <row r="25" spans="1:8" x14ac:dyDescent="0.3">
      <c r="A25" s="22"/>
      <c r="B25" s="22"/>
      <c r="C25" s="22"/>
      <c r="D25" s="22"/>
      <c r="E25" s="22"/>
      <c r="F25" s="22"/>
      <c r="G25" s="22"/>
      <c r="H25" s="22"/>
    </row>
    <row r="27" spans="1:8" x14ac:dyDescent="0.3">
      <c r="A27" s="21" t="s">
        <v>80</v>
      </c>
      <c r="B27" s="22"/>
      <c r="C27" s="22"/>
      <c r="D27" s="22"/>
      <c r="E27" s="22"/>
      <c r="F27" s="22"/>
      <c r="G27" s="22"/>
      <c r="H27" s="22"/>
    </row>
    <row r="28" spans="1:8" x14ac:dyDescent="0.3">
      <c r="A28" s="22"/>
      <c r="B28" s="22"/>
      <c r="C28" s="22"/>
      <c r="D28" s="22"/>
      <c r="E28" s="22"/>
      <c r="F28" s="22"/>
      <c r="G28" s="22"/>
      <c r="H28" s="22"/>
    </row>
  </sheetData>
  <mergeCells count="19">
    <mergeCell ref="A27:H28"/>
    <mergeCell ref="A21:H21"/>
    <mergeCell ref="E8:H8"/>
    <mergeCell ref="E19:H19"/>
    <mergeCell ref="E10:H10"/>
    <mergeCell ref="A24:H25"/>
    <mergeCell ref="E13:H13"/>
    <mergeCell ref="E9:H9"/>
    <mergeCell ref="E15:H15"/>
    <mergeCell ref="E11:H11"/>
    <mergeCell ref="E16:H16"/>
    <mergeCell ref="E7:H7"/>
    <mergeCell ref="A1:H1"/>
    <mergeCell ref="A6:H6"/>
    <mergeCell ref="E18:H18"/>
    <mergeCell ref="E12:H12"/>
    <mergeCell ref="E14:H14"/>
    <mergeCell ref="A3:H3"/>
    <mergeCell ref="E17:H17"/>
  </mergeCells>
  <pageMargins left="0.25" right="0.25" top="0.3" bottom="0.3" header="0.1" footer="0.1"/>
  <pageSetup paperSize="9" orientation="landscape"/>
  <headerFooter>
    <oddFooter>&amp;C&amp;7 TFC-style planning sheet | Cessna C-152 | Verify against current POH/AFM and school SOP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showGridLines="0" workbookViewId="0"/>
  </sheetViews>
  <sheetFormatPr baseColWidth="10" defaultColWidth="8.88671875" defaultRowHeight="14.4" x14ac:dyDescent="0.3"/>
  <sheetData>
    <row r="1" spans="1:2" ht="18" x14ac:dyDescent="0.35">
      <c r="A1" s="20" t="s">
        <v>81</v>
      </c>
    </row>
    <row r="3" spans="1:2" x14ac:dyDescent="0.3">
      <c r="A3" t="s">
        <v>82</v>
      </c>
      <c r="B3">
        <v>0.99</v>
      </c>
    </row>
    <row r="4" spans="1:2" x14ac:dyDescent="0.3">
      <c r="A4" t="s">
        <v>83</v>
      </c>
      <c r="B4">
        <v>0.99</v>
      </c>
    </row>
    <row r="5" spans="1:2" x14ac:dyDescent="0.3">
      <c r="A5" t="s">
        <v>84</v>
      </c>
      <c r="B5">
        <v>1.63</v>
      </c>
    </row>
    <row r="6" spans="1:2" x14ac:dyDescent="0.3">
      <c r="A6" t="s">
        <v>85</v>
      </c>
      <c r="B6">
        <v>2.13</v>
      </c>
    </row>
    <row r="7" spans="1:2" x14ac:dyDescent="0.3">
      <c r="A7" t="s">
        <v>86</v>
      </c>
      <c r="B7">
        <v>1.07</v>
      </c>
    </row>
    <row r="8" spans="1:2" x14ac:dyDescent="0.3">
      <c r="A8" t="s">
        <v>9</v>
      </c>
      <c r="B8">
        <v>0.72</v>
      </c>
    </row>
    <row r="9" spans="1:2" x14ac:dyDescent="0.3">
      <c r="A9" t="s">
        <v>87</v>
      </c>
      <c r="B9">
        <v>93</v>
      </c>
    </row>
    <row r="10" spans="1:2" x14ac:dyDescent="0.3">
      <c r="A10" t="s">
        <v>88</v>
      </c>
      <c r="B10">
        <v>758</v>
      </c>
    </row>
    <row r="11" spans="1:2" x14ac:dyDescent="0.3">
      <c r="A11" t="s">
        <v>89</v>
      </c>
      <c r="B11">
        <v>54</v>
      </c>
    </row>
    <row r="12" spans="1:2" x14ac:dyDescent="0.3">
      <c r="A12" t="s">
        <v>90</v>
      </c>
      <c r="B12">
        <v>18</v>
      </c>
    </row>
    <row r="13" spans="1:2" x14ac:dyDescent="0.3">
      <c r="A13" t="s">
        <v>91</v>
      </c>
      <c r="B13">
        <v>3</v>
      </c>
    </row>
    <row r="14" spans="1:2" x14ac:dyDescent="0.3">
      <c r="A14" t="s">
        <v>92</v>
      </c>
      <c r="B14">
        <v>0.05</v>
      </c>
    </row>
    <row r="15" spans="1:2" x14ac:dyDescent="0.3">
      <c r="A15" t="s">
        <v>93</v>
      </c>
      <c r="B15">
        <v>5</v>
      </c>
    </row>
    <row r="16" spans="1:2" x14ac:dyDescent="0.3">
      <c r="A16" t="s">
        <v>94</v>
      </c>
      <c r="B16">
        <v>45</v>
      </c>
    </row>
    <row r="17" spans="1:2" x14ac:dyDescent="0.3">
      <c r="A17" t="s">
        <v>95</v>
      </c>
      <c r="B17">
        <v>10</v>
      </c>
    </row>
    <row r="20" spans="1:2" x14ac:dyDescent="0.3">
      <c r="A20" t="s">
        <v>96</v>
      </c>
      <c r="B20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Fuel Calculation</vt:lpstr>
      <vt:lpstr>Mass &amp; Balance</vt:lpstr>
      <vt:lpstr>Stammdaten</vt:lpstr>
      <vt:lpstr>'Fuel Calculation'!Druckbereich</vt:lpstr>
      <vt:lpstr>'Mass &amp; Balance'!Druckbereich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</cp:lastModifiedBy>
  <dcterms:created xsi:type="dcterms:W3CDTF">2026-09-29T17:02:32Z</dcterms:created>
  <dcterms:modified xsi:type="dcterms:W3CDTF">2026-09-29T17:46:08Z</dcterms:modified>
</cp:coreProperties>
</file>